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4\Grupo 7 ViveActivo Genesis Correa y David Alvarez\Evidencias grupales\"/>
    </mc:Choice>
  </mc:AlternateContent>
  <xr:revisionPtr revIDLastSave="0" documentId="13_ncr:1_{23A75382-FE83-4B1B-BB60-688742640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G82" i="1"/>
  <c r="E82" i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G79" i="1"/>
  <c r="E79" i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G69" i="1"/>
  <c r="E69" i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G66" i="1"/>
  <c r="E66" i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G56" i="1"/>
  <c r="E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G53" i="1"/>
  <c r="E53" i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G43" i="1"/>
  <c r="E43" i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G40" i="1"/>
  <c r="E40" i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G27" i="1"/>
  <c r="E27" i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E14" i="1"/>
  <c r="D15" i="1"/>
  <c r="E15" i="1" s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G14" i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<sst xmlns="http://schemas.openxmlformats.org/spreadsheetml/2006/main" count="176" uniqueCount="67">
  <si>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</si>
  <si>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</si>
  <si>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</si>
  <si>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</si>
  <si>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</si>
  <si>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</si>
  <si>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</si>
  <si>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</si>
  <si>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</si>
  <si>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</si>
  <si>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</si>
  <si>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</si>
  <si>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</si>
  <si>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</si>
  <si>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</si>
  <si>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</si>
  <si>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</si>
  <si>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</si>
  <si>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</si>
  <si>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</si>
  <si>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</si>
  <si>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</si>
  <si>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</si>
  <si>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</si>
  <si>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</si>
  <si>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</si>
  <si>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</si>
  <si>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</si>
  <si>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</si>
  <si>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</si>
  <si>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</si>
  <si>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</si>
  <si>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</si>
  <si>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</si>
  <si>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</si>
  <si>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</si>
  <si>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</si>
  <si>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</si>
  <si>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</si>
  <si>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</si>
  <si>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</si>
  <si>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</si>
  <si>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</si>
  <si>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</si>
  <si>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</si>
  <si>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</si>
  <si>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</si>
  <si>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</si>
  <si>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</si>
  <si>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</si>
  <si>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</si>
  <si>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</si>
  <si>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</si>
  <si>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</si>
  <si>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</si>
  <si>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</si>
  <si>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</si>
  <si>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</si>
  <si>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</si>
  <si>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</si>
  <si>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</si>
  <si>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</si>
  <si>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</si>
  <si>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Genesis Correa</t>
  </si>
  <si>
    <t>David Alvarez</t>
  </si>
  <si>
    <t xml:space="preserve">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</si>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</sst>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90" zoomScaleNormal="90" workbookViewId="0">
      <selection activeCell="F90" sqref="F90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6.1</v>
      </c>
      <c r="D4" s="37">
        <f>C60</f>
        <v>6.1</v>
      </c>
      <c r="E4" s="36">
        <f>C4*C$2+D4*D$2</f>
        <v>6.1</v>
      </c>
    </row>
    <row r="5" spans="1:11" ht="14.4" x14ac:dyDescent="0.3">
      <c r="A5" s="3">
        <v>2</v>
      </c>
      <c r="B5" s="16" t="s">
        <v>64</v>
      </c>
      <c r="C5" s="31">
        <f>C34</f>
        <v>6.1</v>
      </c>
      <c r="D5" s="37">
        <f>C73</f>
        <v>6.1</v>
      </c>
      <c r="E5" s="36">
        <f t="shared" ref="E5:E6" si="0">C5*C$2+D5*D$2</f>
        <v>6.1</v>
      </c>
    </row>
    <row r="6" spans="1:11" ht="14.4" x14ac:dyDescent="0.3">
      <c r="A6" s="3">
        <v>3</v>
      </c>
      <c r="B6" s="16" t="s">
        <v>65</v>
      </c>
      <c r="C6" s="31">
        <f>C47</f>
        <v>6.1</v>
      </c>
      <c r="D6" s="37">
        <f>C86</f>
        <v>6.1</v>
      </c>
      <c r="E6" s="36">
        <f t="shared" si="0"/>
        <v>6.1</v>
      </c>
    </row>
    <row r="11" spans="1:11" ht="18" outlineLevel="1" x14ac:dyDescent="0.3">
      <c r="A11" s="39" t="s">
        <v>4</v>
      </c>
      <c r="B11" s="11" t="str">
        <f>B4</f>
        <v>Genesis Correa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6" si="1">IF($C13=CL,"X","")</f>
        <v>X</v>
      </c>
      <c r="E13" s="12">
        <f>IF(D13="X",100*0.15,"")</f>
        <v>15</v>
      </c>
      <c r="F13" s="12" t="str">
        <f t="shared" ref="F13:F16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66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66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88</v>
      </c>
      <c r="D20" s="13"/>
      <c r="E20" s="13">
        <f>SUM(E13:E19)</f>
        <v>70</v>
      </c>
      <c r="F20" s="13"/>
      <c r="G20" s="13">
        <f>SUM(G13:G19)</f>
        <v>18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6.1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David Alvarez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66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66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88</v>
      </c>
      <c r="D33" s="13"/>
      <c r="E33" s="13">
        <f>SUM(E26:E32)</f>
        <v>70</v>
      </c>
      <c r="F33" s="13"/>
      <c r="G33" s="13">
        <f>SUM(G26:G32)</f>
        <v>18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6.1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 xml:space="preserve"> 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66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66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88</v>
      </c>
      <c r="D46" s="13"/>
      <c r="E46" s="13">
        <f>SUM(E39:E45)</f>
        <v>70</v>
      </c>
      <c r="F46" s="13"/>
      <c r="G46" s="13">
        <f>SUM(G39:G45)</f>
        <v>18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6.1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Genesis Correa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66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66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88</v>
      </c>
      <c r="D59" s="13"/>
      <c r="E59" s="13">
        <f>SUM(E52:E58)</f>
        <v>70</v>
      </c>
      <c r="F59" s="13"/>
      <c r="G59" s="13">
        <f>SUM(G52:G58)</f>
        <v>18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6.1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David Alvarez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66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66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88</v>
      </c>
      <c r="D72" s="13"/>
      <c r="E72" s="13">
        <f>SUM(E65:E71)</f>
        <v>70</v>
      </c>
      <c r="F72" s="13"/>
      <c r="G72" s="13">
        <f>SUM(G65:G71)</f>
        <v>18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6.1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 xml:space="preserve"> 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66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66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88</v>
      </c>
      <c r="D85" s="13"/>
      <c r="E85" s="13">
        <f>SUM(E78:E84)</f>
        <v>70</v>
      </c>
      <c r="F85" s="13"/>
      <c r="G85" s="13">
        <f>SUM(G78:G84)</f>
        <v>18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6.1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2025-11-26T17:11:51Z</dcterms:modified>
  <cp:category/>
  <cp:contentStatus/>
</cp:coreProperties>
</file>