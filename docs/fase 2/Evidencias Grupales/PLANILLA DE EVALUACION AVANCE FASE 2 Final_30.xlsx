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Fase 2\Seccion-004\Grupo 7 ViveActivo Genesis Correa y David Alvarez\Evidencias grupales\"/>
    </mc:Choice>
  </mc:AlternateContent>
  <xr:revisionPtr revIDLastSave="0" documentId="13_ncr:1_{097F8D26-7700-4281-BA13-B4753E94F245}" xr6:coauthVersionLast="47" xr6:coauthVersionMax="47" xr10:uidLastSave="{00000000-0000-0000-0000-000000000000}"/>
  <bookViews>
    <workbookView xWindow="-23148" yWindow="-108" windowWidth="23256" windowHeight="12456"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G13" i="1"/>
  <c r="H13" i="1"/>
  <c r="I13" i="1" s="1"/>
  <c r="J13" i="1"/>
  <c r="K13" i="1" s="1"/>
  <c r="B14" i="1"/>
  <c r="B15" i="1"/>
  <c r="B16" i="1"/>
  <c r="B17" i="1"/>
  <c r="B18" i="1"/>
  <c r="B19" i="1"/>
  <c r="B20" i="1"/>
  <c r="B13" i="1"/>
  <c r="E14" i="1" l="1"/>
  <c r="E15" i="1"/>
  <c r="E16" i="1"/>
  <c r="D17" i="1"/>
  <c r="E17" i="1" s="1"/>
  <c r="E18" i="1"/>
  <c r="E19" i="1"/>
  <c r="F20" i="1"/>
  <c r="G20" i="1" s="1"/>
  <c r="F17" i="1" l="1"/>
  <c r="G17" i="1" s="1"/>
  <c r="H17" i="1"/>
  <c r="I17" i="1" s="1"/>
  <c r="J17" i="1"/>
  <c r="K17" i="1" s="1"/>
  <c r="J20" i="1"/>
  <c r="K20" i="1" s="1"/>
  <c r="H20" i="1"/>
  <c r="I20" i="1" s="1"/>
  <c r="D20" i="1"/>
  <c r="E20" i="1" s="1"/>
  <c r="J19" i="1"/>
  <c r="K19" i="1" s="1"/>
  <c r="H19" i="1"/>
  <c r="I19" i="1" s="1"/>
  <c r="G19" i="1"/>
  <c r="J18" i="1"/>
  <c r="K18" i="1" s="1"/>
  <c r="H18" i="1"/>
  <c r="I18" i="1" s="1"/>
  <c r="G18" i="1"/>
  <c r="J16" i="1"/>
  <c r="K16" i="1" s="1"/>
  <c r="H16" i="1"/>
  <c r="I16" i="1" s="1"/>
  <c r="G16" i="1"/>
  <c r="J15" i="1"/>
  <c r="K15" i="1" s="1"/>
  <c r="H15" i="1"/>
  <c r="I15" i="1" s="1"/>
  <c r="G15" i="1"/>
  <c r="J14" i="1"/>
  <c r="I14" i="1"/>
  <c r="G14" i="1"/>
  <c r="E21" i="1" l="1"/>
  <c r="G21" i="1"/>
  <c r="I21" i="1"/>
  <c r="K14" i="1"/>
  <c r="K21" i="1" l="1"/>
  <c r="C21" i="1" s="1"/>
  <c r="C22" i="1" s="1"/>
  <c r="C7" i="1" s="1"/>
  <c r="C6" i="1" l="1"/>
  <c r="C5" i="1"/>
  <c r="C4" i="1"/>
</calcChain>
</file>

<file path=xl/sharedStrings.xml><?xml version="1.0" encoding="utf-8"?>
<sst xmlns="http://schemas.openxmlformats.org/spreadsheetml/2006/main" count="91" uniqueCount="67">
  <si>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</si>
  <si>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</si>
  <si>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</si>
  <si>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</si>
  <si>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</si>
  <si>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</si>
  <si>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</si>
  <si>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</si>
  <si>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</si>
  <si>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</si>
  <si>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</si>
  <si>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</si>
  <si>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</si>
  <si>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</si>
  <si>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</si>
  <si>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</si>
  <si>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</si>
  <si>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</si>
  <si>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</si>
  <si>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</si>
  <si>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</si>
  <si>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</si>
  <si>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</si>
  <si>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</si>
  <si>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</si>
  <si>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</si>
  <si>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</si>
  <si>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</si>
  <si>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</si>
  <si>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</si>
  <si>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</si>
  <si>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</si>
  <si>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</si>
  <si>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</si>
  <si>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</si>
  <si>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</si>
  <si>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</si>
  <si>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</si>
  <si>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</si>
  <si>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</si>
  <si>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</si>
  <si>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</si>
  <si>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</si>
  <si>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</si>
  <si>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</si>
  <si>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</si>
  <si>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</si>
  <si>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</si>
  <si>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</si>
  <si>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</si>
  <si>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</si>
  <si>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</si>
  <si>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</si>
  <si>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</si>
  <si>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</si>
  <si>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</si>
  <si>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</si>
  <si>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</si>
  <si>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</si>
  <si>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</si>
  <si>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</si>
  <si>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</si>
  <si>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</si>
  <si>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x</t>
  </si>
  <si>
    <t xml:space="preserve"> </t>
  </si>
  <si>
    <t>Genesis Correa</t>
  </si>
  <si>
    <t>David Alvarez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</si>
</sst>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rgb="FF000000"/>
      </left>
      <right/>
      <top style="thin">
        <color rgb="FF000000"/>
      </top>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4" fillId="0" borderId="28" xfId="0" applyFont="1" applyBorder="1" applyAlignment="1">
      <alignment horizontal="left"/>
    </xf>
    <xf numFmtId="164" fontId="0" fillId="2" borderId="2" xfId="0" applyNumberFormat="1" applyFill="1" applyBorder="1" applyAlignment="1">
      <alignment horizontal="center"/>
    </xf>
    <xf numFmtId="0" fontId="14" fillId="0" borderId="25" xfId="0" applyFont="1" applyBorder="1" applyAlignment="1">
      <alignment horizontal="left"/>
    </xf>
    <xf numFmtId="164" fontId="0" fillId="2" borderId="25" xfId="0" applyNumberFormat="1" applyFill="1" applyBorder="1" applyAlignment="1">
      <alignment horizontal="center"/>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80" zoomScaleNormal="80" workbookViewId="0">
      <selection activeCell="D16" sqref="D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c r="E3" t="s">
        <v>64</v>
      </c>
    </row>
    <row r="4" spans="1:11" x14ac:dyDescent="0.25">
      <c r="A4" s="4">
        <v>1</v>
      </c>
      <c r="B4" s="25" t="s">
        <v>65</v>
      </c>
      <c r="C4" s="5">
        <f>EVALUACION2!$C$22</f>
        <v>5.8</v>
      </c>
      <c r="G4" s="1"/>
    </row>
    <row r="5" spans="1:11" x14ac:dyDescent="0.25">
      <c r="A5" s="4">
        <v>2</v>
      </c>
      <c r="B5" s="25" t="s">
        <v>66</v>
      </c>
      <c r="C5" s="5">
        <f>EVALUACION2!$C$22</f>
        <v>5.8</v>
      </c>
      <c r="G5" s="1"/>
    </row>
    <row r="6" spans="1:11" x14ac:dyDescent="0.25">
      <c r="A6" s="4">
        <v>3</v>
      </c>
      <c r="B6" s="40"/>
      <c r="C6" s="41">
        <f>EVALUACION2!$C$22</f>
        <v>5.8</v>
      </c>
      <c r="G6" s="1"/>
      <c r="I6" t="s">
        <v>64</v>
      </c>
    </row>
    <row r="7" spans="1:11" ht="15" customHeight="1" x14ac:dyDescent="0.25">
      <c r="A7" s="4">
        <v>4</v>
      </c>
      <c r="B7" s="42"/>
      <c r="C7" s="43">
        <f>EVALUACION2!$C$22</f>
        <v>5.8</v>
      </c>
    </row>
    <row r="11" spans="1:11" ht="18.75" outlineLevel="1" x14ac:dyDescent="0.25">
      <c r="A11" s="44" t="s">
        <v>9</v>
      </c>
      <c r="B11" s="14"/>
      <c r="C11" s="48" t="s">
        <v>10</v>
      </c>
      <c r="D11" s="49" t="s">
        <v>11</v>
      </c>
      <c r="E11" s="51"/>
      <c r="F11" s="51"/>
      <c r="G11" s="51"/>
      <c r="H11" s="51"/>
      <c r="I11" s="51"/>
      <c r="J11" s="51"/>
      <c r="K11" s="50"/>
    </row>
    <row r="12" spans="1:11" outlineLevel="1" x14ac:dyDescent="0.25">
      <c r="A12" s="45"/>
      <c r="B12" s="20" t="s">
        <v>12</v>
      </c>
      <c r="C12" s="47"/>
      <c r="D12" s="49" t="s">
        <v>5</v>
      </c>
      <c r="E12" s="50"/>
      <c r="F12" s="49" t="s">
        <v>6</v>
      </c>
      <c r="G12" s="50"/>
      <c r="H12" s="52" t="s">
        <v>23</v>
      </c>
      <c r="I12" s="50"/>
      <c r="J12" s="49" t="s">
        <v>7</v>
      </c>
      <c r="K12" s="50"/>
    </row>
    <row r="13" spans="1:11" ht="24" outlineLevel="1" x14ac:dyDescent="0.25">
      <c r="A13" s="46"/>
      <c r="B13" s="28" t="str">
        <f>RUBRICA!A4</f>
        <v xml:space="preserve">1. Propone ajustes al Proyecto APT considerando dificultades, facilitadores y retroalimentación. </v>
      </c>
      <c r="C13" s="26" t="s">
        <v>5</v>
      </c>
      <c r="D13" s="15" t="s">
        <v>63</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x14ac:dyDescent="0.25">
      <c r="A14" s="46"/>
      <c r="B14" s="28" t="str">
        <f>RUBRICA!A5</f>
        <v>2. Aplica una metodología que permite el logro de los objetivos propuestos, de acuerdo a los estándares de la disciplina.</v>
      </c>
      <c r="C14" s="26" t="s">
        <v>5</v>
      </c>
      <c r="D14" s="15"/>
      <c r="E14" s="15" t="str">
        <f>IF(D14="X",100*0.1,"")</f>
        <v/>
      </c>
      <c r="F14" s="15" t="s">
        <v>63</v>
      </c>
      <c r="G14" s="15">
        <f>IF(F14="X",60*0.1,"")</f>
        <v>6</v>
      </c>
      <c r="H14" s="15"/>
      <c r="I14" s="15" t="str">
        <f>IF(H14="X",30*0.1,"")</f>
        <v/>
      </c>
      <c r="J14" s="15" t="str">
        <f t="shared" si="1"/>
        <v/>
      </c>
      <c r="K14" s="15" t="str">
        <f t="shared" si="2"/>
        <v/>
      </c>
    </row>
    <row r="15" spans="1:11" ht="48" outlineLevel="1" x14ac:dyDescent="0.25">
      <c r="A15" s="46"/>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63</v>
      </c>
      <c r="G15" s="15">
        <f>IF(F15="X",60*0.25,"")</f>
        <v>15</v>
      </c>
      <c r="H15" s="15" t="str">
        <f t="shared" si="0"/>
        <v/>
      </c>
      <c r="I15" s="15" t="str">
        <f>IF(H15="X",30*0.25,"")</f>
        <v/>
      </c>
      <c r="J15" s="15" t="str">
        <f t="shared" si="1"/>
        <v/>
      </c>
      <c r="K15" s="15" t="str">
        <f t="shared" si="2"/>
        <v/>
      </c>
    </row>
    <row r="16" spans="1:11" ht="24" outlineLevel="1" x14ac:dyDescent="0.25">
      <c r="A16" s="46"/>
      <c r="B16" s="28" t="str">
        <f>RUBRICA!A7</f>
        <v>4. Utiliza de manera precisa el lenguaje técnico en los entregables de acuerdo con lo requerido por la disciplina.</v>
      </c>
      <c r="C16" s="26" t="s">
        <v>5</v>
      </c>
      <c r="D16" s="15"/>
      <c r="E16" s="15" t="str">
        <f>IF(D16="X",100*0.05,"")</f>
        <v/>
      </c>
      <c r="F16" s="15" t="s">
        <v>63</v>
      </c>
      <c r="G16" s="15">
        <f>IF(F16="X",60*0.05,"")</f>
        <v>3</v>
      </c>
      <c r="H16" s="15" t="str">
        <f t="shared" si="0"/>
        <v/>
      </c>
      <c r="I16" s="15" t="str">
        <f>IF(H16="X",30*0.05,"")</f>
        <v/>
      </c>
      <c r="J16" s="15" t="str">
        <f t="shared" si="1"/>
        <v/>
      </c>
      <c r="K16" s="15" t="str">
        <f t="shared" si="2"/>
        <v/>
      </c>
    </row>
    <row r="17" spans="1:11" ht="24" outlineLevel="1" x14ac:dyDescent="0.25">
      <c r="A17" s="46"/>
      <c r="B17" s="28" t="str">
        <f>RUBRICA!A8</f>
        <v xml:space="preserve">5. Utiliza reglas de redacción, ortografía (literal, puntual, acentual) y las normas para citas y referencias. </v>
      </c>
      <c r="C17" s="26" t="s">
        <v>5</v>
      </c>
      <c r="D17" s="15" t="str">
        <f t="shared" ref="D17" si="3">IF($C17=CL,"X","")</f>
        <v>X</v>
      </c>
      <c r="E17" s="15">
        <f>IF(D17="X",100*0.05,"")</f>
        <v>5</v>
      </c>
      <c r="F17" s="15" t="str">
        <f t="shared" ref="F17" si="4">IF($C17=L,"X","")</f>
        <v/>
      </c>
      <c r="G17" s="15" t="str">
        <f>IF(F17="X",60*0.05,"")</f>
        <v/>
      </c>
      <c r="H17" s="15" t="str">
        <f t="shared" si="0"/>
        <v/>
      </c>
      <c r="I17" s="15" t="str">
        <f>IF(H17="X",30*0.05,"")</f>
        <v/>
      </c>
      <c r="J17" s="15" t="str">
        <f t="shared" si="1"/>
        <v/>
      </c>
      <c r="K17" s="15" t="str">
        <f t="shared" si="2"/>
        <v/>
      </c>
    </row>
    <row r="18" spans="1:11" ht="36" outlineLevel="1" x14ac:dyDescent="0.25">
      <c r="A18" s="46"/>
      <c r="B18" s="28" t="str">
        <f>RUBRICA!A9</f>
        <v>6. Entrega la documentación y evidencias requerida por la asignatura de acuerdo a la estrucutra y nombres solicitados, guardando todas las evidencias de avances en Git</v>
      </c>
      <c r="C18" s="26" t="s">
        <v>5</v>
      </c>
      <c r="D18" s="15" t="s">
        <v>63</v>
      </c>
      <c r="E18" s="15">
        <f>IF(D18="X",100*0.2,"")</f>
        <v>20</v>
      </c>
      <c r="F18" s="15"/>
      <c r="G18" s="15" t="str">
        <f>IF(F18="X",60*0.2,"")</f>
        <v/>
      </c>
      <c r="H18" s="15" t="str">
        <f>IF($C18=ML,"X","")</f>
        <v/>
      </c>
      <c r="I18" s="15" t="str">
        <f>IF(H18="X",30*0.2,"")</f>
        <v/>
      </c>
      <c r="J18" s="15" t="str">
        <f>IF($C18=NL,"X","")</f>
        <v/>
      </c>
      <c r="K18" s="15" t="str">
        <f t="shared" ref="K18:K20" si="5">IF($J18="X",0,"")</f>
        <v/>
      </c>
    </row>
    <row r="19" spans="1:11" ht="36" outlineLevel="1" x14ac:dyDescent="0.25">
      <c r="A19" s="46"/>
      <c r="B19" s="28" t="str">
        <f>RUBRICA!A10</f>
        <v>7.- Generan evidencias claras dentro del repositorio  del aporte de cada uno de los integrantes del equipo que permitan identificar la equidad en el trabajo y la participación de cada estudiante.</v>
      </c>
      <c r="C19" s="26" t="s">
        <v>5</v>
      </c>
      <c r="D19" s="15" t="s">
        <v>63</v>
      </c>
      <c r="E19" s="15">
        <f>IF(D19="X",100*0.15,"")</f>
        <v>15</v>
      </c>
      <c r="F19" s="15"/>
      <c r="G19" s="15" t="str">
        <f>IF(F19="X",60*0.15,"")</f>
        <v/>
      </c>
      <c r="H19" s="15" t="str">
        <f>IF($C19=ML,"X","")</f>
        <v/>
      </c>
      <c r="I19" s="15" t="str">
        <f>IF(H19="X",30*0.15,"")</f>
        <v/>
      </c>
      <c r="J19" s="15" t="str">
        <f>IF($C19=NL,"X","")</f>
        <v/>
      </c>
      <c r="K19" s="15" t="str">
        <f t="shared" si="5"/>
        <v/>
      </c>
    </row>
    <row r="20" spans="1:11" ht="36" outlineLevel="1" x14ac:dyDescent="0.25">
      <c r="A20" s="46"/>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5"/>
      <c r="B21" s="27" t="s">
        <v>4</v>
      </c>
      <c r="C21" s="31">
        <f>E21+G21+I21+K21</f>
        <v>84</v>
      </c>
      <c r="D21" s="16"/>
      <c r="E21" s="16">
        <f>SUM(E13:E20)</f>
        <v>60</v>
      </c>
      <c r="F21" s="16"/>
      <c r="G21" s="16">
        <f>SUM(G13:G20)</f>
        <v>24</v>
      </c>
      <c r="H21" s="16"/>
      <c r="I21" s="16">
        <f>SUM(I13:I20)</f>
        <v>0</v>
      </c>
      <c r="J21" s="16"/>
      <c r="K21" s="16">
        <f>SUM(K13:K20)</f>
        <v>0</v>
      </c>
    </row>
    <row r="22" spans="1:11" ht="15.75" customHeight="1" outlineLevel="1" x14ac:dyDescent="0.3">
      <c r="A22" s="47"/>
      <c r="B22" s="30" t="s">
        <v>13</v>
      </c>
      <c r="C22" s="17">
        <f>VLOOKUP(C21,ESCALA_IEP!A2:B202,2,FALSE)</f>
        <v>5.8</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53" t="s">
        <v>14</v>
      </c>
      <c r="B1" s="55" t="s">
        <v>15</v>
      </c>
      <c r="C1" s="56"/>
      <c r="D1" s="56"/>
      <c r="E1" s="57"/>
      <c r="F1" s="53" t="s">
        <v>16</v>
      </c>
    </row>
    <row r="2" spans="1:6" x14ac:dyDescent="0.25">
      <c r="A2" s="54"/>
      <c r="B2" s="59" t="s">
        <v>25</v>
      </c>
      <c r="C2" s="59" t="s">
        <v>17</v>
      </c>
      <c r="D2" s="21" t="s">
        <v>18</v>
      </c>
      <c r="E2" s="22" t="s">
        <v>7</v>
      </c>
      <c r="F2" s="54"/>
    </row>
    <row r="3" spans="1:6" ht="15.75" thickBot="1" x14ac:dyDescent="0.3">
      <c r="A3" s="54"/>
      <c r="B3" s="60"/>
      <c r="C3" s="60"/>
      <c r="D3" s="37">
        <v>-0.3</v>
      </c>
      <c r="E3" s="37">
        <v>0</v>
      </c>
      <c r="F3" s="58"/>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61" t="s">
        <v>3</v>
      </c>
      <c r="B1" s="6" t="s">
        <v>4</v>
      </c>
      <c r="C1" s="7"/>
      <c r="D1" s="7"/>
      <c r="E1" s="8"/>
    </row>
    <row r="2" spans="1:5" ht="45.75" thickBot="1" x14ac:dyDescent="0.3">
      <c r="A2" s="62"/>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Cristian Molina P.</cp:lastModifiedBy>
  <dcterms:created xsi:type="dcterms:W3CDTF">2023-08-07T04:08:01Z</dcterms:created>
  <dcterms:modified xsi:type="dcterms:W3CDTF">2025-11-23T23:20:44Z</dcterms:modified>
</cp:coreProperties>
</file>